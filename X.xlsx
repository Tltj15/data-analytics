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Analytics/pre-week-2/"/>
    </mc:Choice>
  </mc:AlternateContent>
  <xr:revisionPtr revIDLastSave="112" documentId="11_F25DC773A252ABDACC104807991E5C8C5ADE58EF" xr6:coauthVersionLast="47" xr6:coauthVersionMax="47" xr10:uidLastSave="{5C586DB7-DF21-4444-8549-25F86140EE95}"/>
  <bookViews>
    <workbookView xWindow="-96" yWindow="0" windowWidth="11712" windowHeight="13776" activeTab="1" xr2:uid="{00000000-000D-0000-FFFF-FFFF00000000}"/>
  </bookViews>
  <sheets>
    <sheet name="x" sheetId="1" r:id="rId1"/>
    <sheet name="Sheet3" sheetId="3" r:id="rId2"/>
    <sheet name="Sheet2" sheetId="2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7" i="1"/>
  <c r="B15" i="1"/>
  <c r="B16" i="1"/>
</calcChain>
</file>

<file path=xl/sharedStrings.xml><?xml version="1.0" encoding="utf-8"?>
<sst xmlns="http://schemas.openxmlformats.org/spreadsheetml/2006/main" count="67" uniqueCount="32">
  <si>
    <t>Store</t>
  </si>
  <si>
    <t>Store 1</t>
  </si>
  <si>
    <t>Store 2</t>
  </si>
  <si>
    <t>Store 3</t>
  </si>
  <si>
    <t>Store 4</t>
  </si>
  <si>
    <t>Store 5</t>
  </si>
  <si>
    <t>Store 6</t>
  </si>
  <si>
    <t>Store 7</t>
  </si>
  <si>
    <t>Store 8</t>
  </si>
  <si>
    <t>Store 9</t>
  </si>
  <si>
    <t>Store 10</t>
  </si>
  <si>
    <t>Store 11</t>
  </si>
  <si>
    <t>Store 12</t>
  </si>
  <si>
    <t>Monthly Sales</t>
  </si>
  <si>
    <t>MEAN</t>
  </si>
  <si>
    <t>MEDIAN</t>
  </si>
  <si>
    <t>MODE</t>
  </si>
  <si>
    <t>minimun</t>
  </si>
  <si>
    <t>maximum</t>
  </si>
  <si>
    <t>range</t>
  </si>
  <si>
    <t>standard devitation</t>
  </si>
  <si>
    <t>Region</t>
  </si>
  <si>
    <t>Category</t>
  </si>
  <si>
    <t>East</t>
  </si>
  <si>
    <t>West</t>
  </si>
  <si>
    <t>Central</t>
  </si>
  <si>
    <t>Apparel</t>
  </si>
  <si>
    <t>Electronics</t>
  </si>
  <si>
    <t>Home goods</t>
  </si>
  <si>
    <t>Sum of Monthly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</si>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</sst>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[X.xlsx]Sheet3!PivotTable1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Sheet3!$A$4:$A$7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185</c:v>
                </c:pt>
                <c:pt idx="1">
                  <c:v>167</c:v>
                </c:pt>
                <c:pt idx="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B-4778-8E3A-EC03FAAF2C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Monthly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Sheet2!$A$2:$A$13</c:f>
              <c:strCache>
                <c:ptCount val="12"/>
                <c:pt idx="0">
                  <c:v>Store 12</c:v>
                </c:pt>
                <c:pt idx="1">
                  <c:v>Store 3</c:v>
                </c:pt>
                <c:pt idx="2">
                  <c:v>Store 7</c:v>
                </c:pt>
                <c:pt idx="3">
                  <c:v>Store 10</c:v>
                </c:pt>
                <c:pt idx="4">
                  <c:v>Store 1</c:v>
                </c:pt>
                <c:pt idx="5">
                  <c:v>Store 11</c:v>
                </c:pt>
                <c:pt idx="6">
                  <c:v>Store 5</c:v>
                </c:pt>
                <c:pt idx="7">
                  <c:v>Store 8</c:v>
                </c:pt>
                <c:pt idx="8">
                  <c:v>Store 6</c:v>
                </c:pt>
                <c:pt idx="9">
                  <c:v>Store 2</c:v>
                </c:pt>
                <c:pt idx="10">
                  <c:v>Store 9</c:v>
                </c:pt>
                <c:pt idx="11">
                  <c:v>Store 4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2"/>
                <c:pt idx="0">
                  <c:v>68</c:v>
                </c:pt>
                <c:pt idx="1">
                  <c:v>47</c:v>
                </c:pt>
                <c:pt idx="2">
                  <c:v>44</c:v>
                </c:pt>
                <c:pt idx="3">
                  <c:v>43</c:v>
                </c:pt>
                <c:pt idx="4">
                  <c:v>42</c:v>
                </c:pt>
                <c:pt idx="5">
                  <c:v>42</c:v>
                </c:pt>
                <c:pt idx="6">
                  <c:v>41</c:v>
                </c:pt>
                <c:pt idx="7">
                  <c:v>40</c:v>
                </c:pt>
                <c:pt idx="8">
                  <c:v>39</c:v>
                </c:pt>
                <c:pt idx="9">
                  <c:v>38</c:v>
                </c:pt>
                <c:pt idx="10">
                  <c:v>37</c:v>
                </c:pt>
                <c:pt idx="1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C-45D2-8AAA-08F9D7A73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3408608"/>
        <c:axId val="1818190495"/>
      </c:barChart>
      <c:catAx>
        <c:axId val="175340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190495"/>
        <c:crosses val="autoZero"/>
        <c:auto val="1"/>
        <c:lblAlgn val="ctr"/>
        <c:lblOffset val="100"/>
        <c:noMultiLvlLbl val="0"/>
      </c:catAx>
      <c:valAx>
        <c:axId val="181819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40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274320</xdr:colOff>
      <xdr:row>8</xdr:row>
      <xdr:rowOff>125730</xdr:rowOff>
    </xdr:from>
    <xdr:to>
      <xdr:col>7</xdr:col>
      <xdr:colOff>457200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B4922A-F94C-C854-00D3-F0290703C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14</xdr:row>
      <xdr:rowOff>64770</xdr:rowOff>
    </xdr:from>
    <xdr:to>
      <xdr:col>7</xdr:col>
      <xdr:colOff>198120</xdr:colOff>
      <xdr:row>29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B79D5-C639-7CC3-4B40-AAAE9E32F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cy arista" refreshedDate="46106.614451157409" createdVersion="8" refreshedVersion="8" minRefreshableVersion="3" recordCount="12" xr:uid="{4EC96931-1E8E-4001-94C7-0DDD57CF2535}">
  <cacheSource type="worksheet">
    <worksheetSource ref="A1:D13" sheet="Sheet2"/>
  </cacheSource>
  <cacheFields count="4">
    <cacheField name="Store" numFmtId="0">
      <sharedItems/>
    </cacheField>
    <cacheField name="Monthly Sales" numFmtId="0">
      <sharedItems containsSemiMixedTypes="0" containsString="0" containsNumber="1" containsInteger="1" minValue="36" maxValue="68"/>
    </cacheField>
    <cacheField name="Region" numFmtId="0">
      <sharedItems count="3">
        <s v="Central"/>
        <s v="West"/>
        <s v="East"/>
      </sharedItems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12"/>
    <n v="68"/>
    <x v="0"/>
    <s v="Electronics"/>
  </r>
  <r>
    <s v="Store 3"/>
    <n v="47"/>
    <x v="1"/>
    <s v="Apparel"/>
  </r>
  <r>
    <s v="Store 7"/>
    <n v="44"/>
    <x v="2"/>
    <s v="Home goods"/>
  </r>
  <r>
    <s v="Store 10"/>
    <n v="43"/>
    <x v="2"/>
    <s v="Apparel"/>
  </r>
  <r>
    <s v="Store 1"/>
    <n v="42"/>
    <x v="2"/>
    <s v="Apparel"/>
  </r>
  <r>
    <s v="Store 11"/>
    <n v="42"/>
    <x v="1"/>
    <s v="Home goods"/>
  </r>
  <r>
    <s v="Store 5"/>
    <n v="41"/>
    <x v="0"/>
    <s v="Electronics"/>
  </r>
  <r>
    <s v="Store 8"/>
    <n v="40"/>
    <x v="1"/>
    <s v="Electronics"/>
  </r>
  <r>
    <s v="Store 6"/>
    <n v="39"/>
    <x v="0"/>
    <s v="Apparel"/>
  </r>
  <r>
    <s v="Store 2"/>
    <n v="38"/>
    <x v="2"/>
    <s v="Electronics"/>
  </r>
  <r>
    <s v="Store 9"/>
    <n v="37"/>
    <x v="0"/>
    <s v="Home goods"/>
  </r>
  <r>
    <s v="Store 4"/>
    <n v="36"/>
    <x v="1"/>
    <s v="Home good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DEE61-0660-4051-BEC1-A68A804D265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4">
    <pivotField showAll="0"/>
    <pivotField dataField="1"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sqref="A1:B13"/>
    </sheetView>
  </sheetViews>
  <sheetFormatPr defaultRowHeight="14.4" x14ac:dyDescent="0.3"/>
  <cols>
    <col min="2" max="2" width="12.33203125" bestFit="1" customWidth="1"/>
  </cols>
  <sheetData>
    <row r="1" spans="1:2" x14ac:dyDescent="0.3">
      <c r="A1" t="s">
        <v>0</v>
      </c>
      <c r="B1" t="s">
        <v>13</v>
      </c>
    </row>
    <row r="2" spans="1:2" x14ac:dyDescent="0.3">
      <c r="A2" t="s">
        <v>1</v>
      </c>
      <c r="B2">
        <v>42</v>
      </c>
    </row>
    <row r="3" spans="1:2" x14ac:dyDescent="0.3">
      <c r="A3" t="s">
        <v>2</v>
      </c>
      <c r="B3">
        <v>38</v>
      </c>
    </row>
    <row r="4" spans="1:2" x14ac:dyDescent="0.3">
      <c r="A4" t="s">
        <v>3</v>
      </c>
      <c r="B4">
        <v>47</v>
      </c>
    </row>
    <row r="5" spans="1:2" x14ac:dyDescent="0.3">
      <c r="A5" t="s">
        <v>4</v>
      </c>
      <c r="B5">
        <v>36</v>
      </c>
    </row>
    <row r="6" spans="1:2" x14ac:dyDescent="0.3">
      <c r="A6" t="s">
        <v>5</v>
      </c>
      <c r="B6">
        <v>41</v>
      </c>
    </row>
    <row r="7" spans="1:2" x14ac:dyDescent="0.3">
      <c r="A7" t="s">
        <v>6</v>
      </c>
      <c r="B7">
        <v>39</v>
      </c>
    </row>
    <row r="8" spans="1:2" x14ac:dyDescent="0.3">
      <c r="A8" t="s">
        <v>7</v>
      </c>
      <c r="B8">
        <v>44</v>
      </c>
    </row>
    <row r="9" spans="1:2" x14ac:dyDescent="0.3">
      <c r="A9" t="s">
        <v>8</v>
      </c>
      <c r="B9">
        <v>40</v>
      </c>
    </row>
    <row r="10" spans="1:2" x14ac:dyDescent="0.3">
      <c r="A10" t="s">
        <v>9</v>
      </c>
      <c r="B10">
        <v>37</v>
      </c>
    </row>
    <row r="11" spans="1:2" x14ac:dyDescent="0.3">
      <c r="A11" t="s">
        <v>10</v>
      </c>
      <c r="B11">
        <v>43</v>
      </c>
    </row>
    <row r="12" spans="1:2" x14ac:dyDescent="0.3">
      <c r="A12" t="s">
        <v>11</v>
      </c>
      <c r="B12">
        <v>42</v>
      </c>
    </row>
    <row r="13" spans="1:2" x14ac:dyDescent="0.3">
      <c r="A13" t="s">
        <v>12</v>
      </c>
      <c r="B13">
        <v>68</v>
      </c>
    </row>
    <row r="15" spans="1:2" x14ac:dyDescent="0.3">
      <c r="A15" t="s">
        <v>14</v>
      </c>
      <c r="B15">
        <f>AVERAGE(B2:B13)</f>
        <v>43.083333333333336</v>
      </c>
    </row>
    <row r="16" spans="1:2" x14ac:dyDescent="0.3">
      <c r="A16" t="s">
        <v>15</v>
      </c>
      <c r="B16">
        <f>MEDIAN(B2:B13)</f>
        <v>41.5</v>
      </c>
    </row>
    <row r="17" spans="1:2" x14ac:dyDescent="0.3">
      <c r="A17" t="s">
        <v>16</v>
      </c>
      <c r="B17">
        <f>_xlfn.MODE.SNGL(B2:B13)</f>
        <v>42</v>
      </c>
    </row>
    <row r="19" spans="1:2" x14ac:dyDescent="0.3">
      <c r="A19" t="s">
        <v>17</v>
      </c>
      <c r="B19">
        <f>MIN(B2:B13)</f>
        <v>36</v>
      </c>
    </row>
    <row r="20" spans="1:2" x14ac:dyDescent="0.3">
      <c r="A20" t="s">
        <v>18</v>
      </c>
      <c r="B20">
        <f>MAX(B2:B13)</f>
        <v>68</v>
      </c>
    </row>
    <row r="21" spans="1:2" x14ac:dyDescent="0.3">
      <c r="A21" t="s">
        <v>19</v>
      </c>
      <c r="B21">
        <f>MAX(B2:B13)-MIN(B2:B13)</f>
        <v>32</v>
      </c>
    </row>
    <row r="22" spans="1:2" x14ac:dyDescent="0.3">
      <c r="A22" t="s">
        <v>20</v>
      </c>
      <c r="B22">
        <f>_xlfn.STDEV.S(B2:B13)</f>
        <v>8.4364828230870312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1923-2AAB-4B6E-BAE4-EB7C9611313B}">
  <dimension ref="A3:B7"/>
  <sheetViews>
    <sheetView tabSelected="1" workbookViewId="0">
      <selection activeCell="E6" sqref="E6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2" t="s">
        <v>30</v>
      </c>
      <c r="B3" t="s">
        <v>29</v>
      </c>
    </row>
    <row r="4" spans="1:2" x14ac:dyDescent="0.3">
      <c r="A4" s="3" t="s">
        <v>25</v>
      </c>
      <c r="B4" s="1">
        <v>185</v>
      </c>
    </row>
    <row r="5" spans="1:2" x14ac:dyDescent="0.3">
      <c r="A5" s="3" t="s">
        <v>23</v>
      </c>
      <c r="B5" s="1">
        <v>167</v>
      </c>
    </row>
    <row r="6" spans="1:2" x14ac:dyDescent="0.3">
      <c r="A6" s="3" t="s">
        <v>24</v>
      </c>
      <c r="B6" s="1">
        <v>165</v>
      </c>
    </row>
    <row r="7" spans="1:2" x14ac:dyDescent="0.3">
      <c r="A7" s="3" t="s">
        <v>31</v>
      </c>
      <c r="B7" s="1">
        <v>517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2BD1-868C-4D1F-952F-9CB1F4A6C967}">
  <dimension ref="A1:D13"/>
  <sheetViews>
    <sheetView workbookViewId="0">
      <selection activeCell="B4" sqref="B4"/>
    </sheetView>
  </sheetViews>
  <sheetFormatPr defaultRowHeight="14.4" x14ac:dyDescent="0.3"/>
  <cols>
    <col min="1" max="1" width="7.77734375" bestFit="1" customWidth="1"/>
    <col min="2" max="2" width="12.33203125" bestFit="1" customWidth="1"/>
    <col min="4" max="4" width="11.21875" bestFit="1" customWidth="1"/>
  </cols>
  <sheetData>
    <row r="1" spans="1:4" x14ac:dyDescent="0.3">
      <c r="A1" t="s">
        <v>0</v>
      </c>
      <c r="B1" t="s">
        <v>13</v>
      </c>
      <c r="C1" t="s">
        <v>21</v>
      </c>
      <c r="D1" t="s">
        <v>22</v>
      </c>
    </row>
    <row r="2" spans="1:4" x14ac:dyDescent="0.3">
      <c r="A2" t="s">
        <v>12</v>
      </c>
      <c r="B2">
        <v>68</v>
      </c>
      <c r="C2" t="s">
        <v>25</v>
      </c>
      <c r="D2" t="s">
        <v>27</v>
      </c>
    </row>
    <row r="3" spans="1:4" x14ac:dyDescent="0.3">
      <c r="A3" t="s">
        <v>3</v>
      </c>
      <c r="B3">
        <v>47</v>
      </c>
      <c r="C3" t="s">
        <v>24</v>
      </c>
      <c r="D3" t="s">
        <v>26</v>
      </c>
    </row>
    <row r="4" spans="1:4" x14ac:dyDescent="0.3">
      <c r="A4" t="s">
        <v>7</v>
      </c>
      <c r="B4">
        <v>44</v>
      </c>
      <c r="C4" t="s">
        <v>23</v>
      </c>
      <c r="D4" t="s">
        <v>28</v>
      </c>
    </row>
    <row r="5" spans="1:4" x14ac:dyDescent="0.3">
      <c r="A5" t="s">
        <v>10</v>
      </c>
      <c r="B5">
        <v>43</v>
      </c>
      <c r="C5" t="s">
        <v>23</v>
      </c>
      <c r="D5" t="s">
        <v>26</v>
      </c>
    </row>
    <row r="6" spans="1:4" x14ac:dyDescent="0.3">
      <c r="A6" t="s">
        <v>1</v>
      </c>
      <c r="B6">
        <v>42</v>
      </c>
      <c r="C6" t="s">
        <v>23</v>
      </c>
      <c r="D6" t="s">
        <v>26</v>
      </c>
    </row>
    <row r="7" spans="1:4" x14ac:dyDescent="0.3">
      <c r="A7" t="s">
        <v>11</v>
      </c>
      <c r="B7">
        <v>42</v>
      </c>
      <c r="C7" t="s">
        <v>24</v>
      </c>
      <c r="D7" t="s">
        <v>28</v>
      </c>
    </row>
    <row r="8" spans="1:4" x14ac:dyDescent="0.3">
      <c r="A8" t="s">
        <v>5</v>
      </c>
      <c r="B8">
        <v>41</v>
      </c>
      <c r="C8" t="s">
        <v>25</v>
      </c>
      <c r="D8" t="s">
        <v>27</v>
      </c>
    </row>
    <row r="9" spans="1:4" x14ac:dyDescent="0.3">
      <c r="A9" t="s">
        <v>8</v>
      </c>
      <c r="B9">
        <v>40</v>
      </c>
      <c r="C9" t="s">
        <v>24</v>
      </c>
      <c r="D9" t="s">
        <v>27</v>
      </c>
    </row>
    <row r="10" spans="1:4" x14ac:dyDescent="0.3">
      <c r="A10" t="s">
        <v>6</v>
      </c>
      <c r="B10">
        <v>39</v>
      </c>
      <c r="C10" t="s">
        <v>25</v>
      </c>
      <c r="D10" t="s">
        <v>26</v>
      </c>
    </row>
    <row r="11" spans="1:4" x14ac:dyDescent="0.3">
      <c r="A11" t="s">
        <v>2</v>
      </c>
      <c r="B11">
        <v>38</v>
      </c>
      <c r="C11" t="s">
        <v>23</v>
      </c>
      <c r="D11" t="s">
        <v>27</v>
      </c>
    </row>
    <row r="12" spans="1:4" x14ac:dyDescent="0.3">
      <c r="A12" t="s">
        <v>9</v>
      </c>
      <c r="B12">
        <v>37</v>
      </c>
      <c r="C12" t="s">
        <v>25</v>
      </c>
      <c r="D12" t="s">
        <v>28</v>
      </c>
    </row>
    <row r="13" spans="1:4" x14ac:dyDescent="0.3">
      <c r="A13" t="s">
        <v>4</v>
      </c>
      <c r="B13">
        <v>36</v>
      </c>
      <c r="C13" t="s">
        <v>24</v>
      </c>
      <c r="D13" t="s">
        <v>28</v>
      </c>
    </row>
  </sheetData>
  <sortState xmlns:xlrd2="http://schemas.microsoft.com/office/spreadsheetml/2017/richdata2" ref="A2:D13">
    <sortCondition descending="1" ref="B2:B1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arista</dc:creator>
  <cp:lastModifiedBy>tracy arista</cp:lastModifiedBy>
  <dcterms:created xsi:type="dcterms:W3CDTF">2015-06-05T18:17:20Z</dcterms:created>
  <dcterms:modified xsi:type="dcterms:W3CDTF">2026-03-25T19:53:41Z</dcterms:modified>
</cp:coreProperties>
</file>