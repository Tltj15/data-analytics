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yearuptemp-my.sharepoint.com/personal/tarista_my_yearupunited_org/Documents/Documents/DataAnalytics/week-1/"/>
    </mc:Choice>
  </mc:AlternateContent>
  <xr:revisionPtr revIDLastSave="221" documentId="8_{3EB12255-F17D-4443-8C2E-68879B7C5B4F}" xr6:coauthVersionLast="47" xr6:coauthVersionMax="47" xr10:uidLastSave="{19315218-AF08-421A-815D-159A27D3AFC7}"/>
  <bookViews>
    <workbookView xWindow="-108" yWindow="-108" windowWidth="23256" windowHeight="13896" activeTab="1" xr2:uid="{00000000-000D-0000-FFFF-FFFF00000000}"/>
  </bookViews>
  <sheets>
    <sheet name="Sheet2" sheetId="2" r:id="rId1"/>
    <sheet name="Sheet1" sheetId="1" r:id="rId2"/>
  </sheets>
  <calcPr calcId="191029"/>
  <pivotCaches>
    <pivotCache cacheId="1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K23" i="1"/>
  <c r="K22" i="1"/>
  <c r="K21" i="1"/>
  <c r="H23" i="1"/>
  <c r="H21" i="1"/>
  <c r="H22" i="1"/>
  <c r="J2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 l="1"/>
</calcChain>
</file>

<file path=xl/sharedStrings.xml><?xml version="1.0" encoding="utf-8"?>
<sst xmlns="http://schemas.openxmlformats.org/spreadsheetml/2006/main" count="194" uniqueCount="136">
  <si>
    <t>ID</t>
  </si>
  <si>
    <t>Start time</t>
  </si>
  <si>
    <t>Completion time</t>
  </si>
  <si>
    <t>Email</t>
  </si>
  <si>
    <t>Name</t>
  </si>
  <si>
    <t>Last modified time</t>
  </si>
  <si>
    <t>How often do you visit Chill Bubble Tea?</t>
  </si>
  <si>
    <t>What's your go to order?</t>
  </si>
  <si>
    <t>How satisfied are you with your overall experience?</t>
  </si>
  <si>
    <t>Would you be interested in joining a Chill Bubble Tea rewards program?</t>
  </si>
  <si>
    <t>What kind of rewards would you enjoy? (select all that apply)</t>
  </si>
  <si>
    <t xml:space="preserve">Want loyalty and perk updates?
</t>
  </si>
  <si>
    <t>What could we do better?</t>
  </si>
  <si>
    <t>What keeps you coming back to Chill Bubble Tea?</t>
  </si>
  <si>
    <t>ccelik@my.yearupunited.org</t>
  </si>
  <si>
    <t>cagla celik</t>
  </si>
  <si>
    <t>Weekly ( Your Obsessed !)</t>
  </si>
  <si>
    <t>Your most popular drink</t>
  </si>
  <si>
    <t>Not Intrested</t>
  </si>
  <si>
    <t>Free drink with points;</t>
  </si>
  <si>
    <t>Not interested</t>
  </si>
  <si>
    <t xml:space="preserve">Inviting ambience </t>
  </si>
  <si>
    <t>okaraer@my.yearupunited.org</t>
  </si>
  <si>
    <t>onur karaer</t>
  </si>
  <si>
    <t>Vanilla Chocolate</t>
  </si>
  <si>
    <t>Maybe ?</t>
  </si>
  <si>
    <t>Birthday freebies;</t>
  </si>
  <si>
    <t>johndoe@yearupunited.com</t>
  </si>
  <si>
    <t>Drink are a little warm. It could be colder.</t>
  </si>
  <si>
    <t>Service</t>
  </si>
  <si>
    <t>jnavarroservin@my.yearupunited.org</t>
  </si>
  <si>
    <t>jessica navarroservin</t>
  </si>
  <si>
    <t>A few times a year</t>
  </si>
  <si>
    <t>Avocado smoothie with Bobba</t>
  </si>
  <si>
    <t>Free drink with points;Birthday freebies;</t>
  </si>
  <si>
    <t>1loveboba@pinkmail.com</t>
  </si>
  <si>
    <t>Offer seasonal drinks</t>
  </si>
  <si>
    <t>The environment and seating is a great ambiance for third space.</t>
  </si>
  <si>
    <t>asago@my.yearupunited.org</t>
  </si>
  <si>
    <t>antwaushea sago</t>
  </si>
  <si>
    <t>Never</t>
  </si>
  <si>
    <t>Free drink with points;Birthday freebies;Discounts on favorite orders;</t>
  </si>
  <si>
    <t>Yes</t>
  </si>
  <si>
    <t>jalmarazflores@my.yearupunited.org</t>
  </si>
  <si>
    <t>julissa almarazflores</t>
  </si>
  <si>
    <t>First time</t>
  </si>
  <si>
    <t>Brown Sugar</t>
  </si>
  <si>
    <t>Birthday freebies;Free drink with points;Discounts on favorite orders;</t>
  </si>
  <si>
    <t>No</t>
  </si>
  <si>
    <t>good point system</t>
  </si>
  <si>
    <t>Quality items</t>
  </si>
  <si>
    <t>ssimsek@my.yearupunited.org</t>
  </si>
  <si>
    <t>sultan simsek</t>
  </si>
  <si>
    <t>never</t>
  </si>
  <si>
    <t>I have not tried boba tea ever.</t>
  </si>
  <si>
    <t>Free drink with points;Birthday freebies;Merch ;Discounts on favorite orders;</t>
  </si>
  <si>
    <t>no</t>
  </si>
  <si>
    <t>marketing</t>
  </si>
  <si>
    <t>kmarsh1@my.yearupunited.org</t>
  </si>
  <si>
    <t>kiersten marsh</t>
  </si>
  <si>
    <t>A lychee boba with honey jelly and strawberry popping boba and cheese foam top (real order by the way)</t>
  </si>
  <si>
    <t>Yes, Please</t>
  </si>
  <si>
    <t>Free drink with points;Discounts on favorite orders;</t>
  </si>
  <si>
    <t>OGkiki@emailemail.com (123)-456-7890</t>
  </si>
  <si>
    <t>Maybe add some food options like waffles</t>
  </si>
  <si>
    <t xml:space="preserve">The yummy quality </t>
  </si>
  <si>
    <t>edebero@my.yearupunited.org</t>
  </si>
  <si>
    <t>eyerusalem debero</t>
  </si>
  <si>
    <t>Every other month</t>
  </si>
  <si>
    <t>Brown Sugar Boba Milk caramel flavor</t>
  </si>
  <si>
    <t>Faster service and more drink options.</t>
  </si>
  <si>
    <t>Good taste and consistent quality.</t>
  </si>
  <si>
    <t>mruiz3@my.yearupunited.org</t>
  </si>
  <si>
    <t>maritza ruiz</t>
  </si>
  <si>
    <t>Unsure, never ordered before</t>
  </si>
  <si>
    <t>Discounts on favorite orders;</t>
  </si>
  <si>
    <t>111-111-1111</t>
  </si>
  <si>
    <t>N/A</t>
  </si>
  <si>
    <t>fbaslar@my.yearupunited.org</t>
  </si>
  <si>
    <t>fuat baslar</t>
  </si>
  <si>
    <t>boba tea</t>
  </si>
  <si>
    <t>Free drink with points;Birthday freebies;Merch ;</t>
  </si>
  <si>
    <t>-</t>
  </si>
  <si>
    <t>everything is great</t>
  </si>
  <si>
    <t>arollins@my.yearupunited.org</t>
  </si>
  <si>
    <t>ariel rollins</t>
  </si>
  <si>
    <t>This would be my first time here. I don't have a go-to order.</t>
  </si>
  <si>
    <t>Merch ;Birthday freebies;</t>
  </si>
  <si>
    <t>No, I am fine.</t>
  </si>
  <si>
    <t>Comforting first experience.</t>
  </si>
  <si>
    <t>I be hungry, dude.</t>
  </si>
  <si>
    <t>cugur@my.yearupunited.org</t>
  </si>
  <si>
    <t>ceyhun ugur</t>
  </si>
  <si>
    <t>Bubble tea</t>
  </si>
  <si>
    <t>discounts</t>
  </si>
  <si>
    <t>Quality of product</t>
  </si>
  <si>
    <t>ktesema@my.yearupunited.org</t>
  </si>
  <si>
    <t>kidus tesema</t>
  </si>
  <si>
    <t>black milk tea</t>
  </si>
  <si>
    <t>Birthday freebies;Discounts on favorite orders;</t>
  </si>
  <si>
    <t>you guys need a delivery system</t>
  </si>
  <si>
    <t xml:space="preserve">The falvors </t>
  </si>
  <si>
    <t>msaeday@my.yearupunited.org</t>
  </si>
  <si>
    <t>mina saeday</t>
  </si>
  <si>
    <t>Milk tea</t>
  </si>
  <si>
    <t>It’s perfect</t>
  </si>
  <si>
    <t xml:space="preserve">The tea </t>
  </si>
  <si>
    <t>rmengesha@my.yearupunited.org</t>
  </si>
  <si>
    <t xml:space="preserve">Matcha boba tea </t>
  </si>
  <si>
    <t>vegan options</t>
  </si>
  <si>
    <t xml:space="preserve">good atmosphere </t>
  </si>
  <si>
    <t>gmutize@my.yearupunited.org</t>
  </si>
  <si>
    <t>godknows mutize</t>
  </si>
  <si>
    <t>Strawberry</t>
  </si>
  <si>
    <t>Cleanliness</t>
  </si>
  <si>
    <t>Speed of service</t>
  </si>
  <si>
    <t>wpoindexter@my.yearupunited.org</t>
  </si>
  <si>
    <t>william poindexter</t>
  </si>
  <si>
    <t>Taro tea</t>
  </si>
  <si>
    <t>Free drink</t>
  </si>
  <si>
    <t>freebies for birthday</t>
  </si>
  <si>
    <t>The taro tea</t>
  </si>
  <si>
    <t>lpham1@my.yearupunited.org</t>
  </si>
  <si>
    <t>longley pham</t>
  </si>
  <si>
    <t>Avocado Smoothie</t>
  </si>
  <si>
    <t>More options</t>
  </si>
  <si>
    <t>Nearby</t>
  </si>
  <si>
    <t>pmartinez@my.yearupunited.org</t>
  </si>
  <si>
    <t>paola martinez</t>
  </si>
  <si>
    <t>taro tea</t>
  </si>
  <si>
    <t>better atmosphere for remote workers</t>
  </si>
  <si>
    <t>the quality of the drinks</t>
  </si>
  <si>
    <t>Time to complete</t>
  </si>
  <si>
    <t>Row Labels</t>
  </si>
  <si>
    <t>Grand Total</t>
  </si>
  <si>
    <t>Count of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</si>
</sst>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:ss"/>
    <numFmt numFmtId="166" formatCode="mm/dd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quotePrefix="1"/>
    <xf numFmtId="0" fontId="0" fillId="0" borderId="0" xfId="0" applyNumberFormat="1"/>
    <xf numFmtId="166" fontId="0" fillId="0" borderId="0" xfId="0" applyNumberFormat="1"/>
    <xf numFmtId="4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28" formatCode="mm:ss"/>
    </dxf>
    <dxf>
      <numFmt numFmtId="166" formatCode="mm/dd/yyyy\ hh:mm:ss"/>
    </dxf>
    <dxf>
      <numFmt numFmtId="166" formatCode="mm/dd/yyyy\ h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28" formatCode="mm:ss"/>
    </dxf>
    <dxf>
      <numFmt numFmtId="166" formatCode="mm/dd/yyyy\ hh:mm:ss"/>
    </dxf>
    <dxf>
      <numFmt numFmtId="166" formatCode="mm/dd/yyyy\ h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[What Would Make Your Boba Even Better_(1-19).xlsx]Sheet2!PivotTable4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Amount</a:t>
            </a:r>
            <a:r>
              <a:rPr lang="en-US" baseline="0"/>
              <a:t> of Customer Visits</a:t>
            </a:r>
            <a:endParaRPr lang="en-US"/>
          </a:p>
        </c:rich>
      </c:tx>
      <c:layout>
        <c:manualLayout>
          <c:xMode val="edge"/>
          <c:yMode val="edge"/>
          <c:x val="0.24527777777777779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Sheet2!$A$2:$A$7</c:f>
              <c:strCache>
                <c:ptCount val="5"/>
                <c:pt idx="0">
                  <c:v>A few times a year</c:v>
                </c:pt>
                <c:pt idx="1">
                  <c:v>Every other month</c:v>
                </c:pt>
                <c:pt idx="2">
                  <c:v>First time</c:v>
                </c:pt>
                <c:pt idx="3">
                  <c:v>Never</c:v>
                </c:pt>
                <c:pt idx="4">
                  <c:v>Weekly ( Your Obsessed !)</c:v>
                </c:pt>
              </c:strCache>
            </c:strRef>
          </c:cat>
          <c:val>
            <c:numRef>
              <c:f>Sheet2!$B$2:$B$7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8</c:v>
                </c:pt>
                <c:pt idx="3">
                  <c:v>2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B5-4845-BE4C-C847205BFF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37795344"/>
        <c:axId val="1037779024"/>
      </c:barChart>
      <c:catAx>
        <c:axId val="103779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779024"/>
        <c:crosses val="autoZero"/>
        <c:auto val="1"/>
        <c:lblAlgn val="ctr"/>
        <c:lblOffset val="100"/>
        <c:noMultiLvlLbl val="0"/>
      </c:catAx>
      <c:valAx>
        <c:axId val="103777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79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[What Would Make Your Boba Even Better_(1-19).xlsx]Sheet2!PivotTable4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Amount of Customer Visits</a:t>
            </a:r>
          </a:p>
        </c:rich>
      </c:tx>
      <c:layout>
        <c:manualLayout>
          <c:xMode val="edge"/>
          <c:yMode val="edge"/>
          <c:x val="0.24527777777777779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2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Sheet2!$A$2:$A$7</c:f>
              <c:strCache>
                <c:ptCount val="5"/>
                <c:pt idx="0">
                  <c:v>A few times a year</c:v>
                </c:pt>
                <c:pt idx="1">
                  <c:v>Every other month</c:v>
                </c:pt>
                <c:pt idx="2">
                  <c:v>First time</c:v>
                </c:pt>
                <c:pt idx="3">
                  <c:v>Never</c:v>
                </c:pt>
                <c:pt idx="4">
                  <c:v>Weekly ( Your Obsessed !)</c:v>
                </c:pt>
              </c:strCache>
            </c:strRef>
          </c:cat>
          <c:val>
            <c:numRef>
              <c:f>Sheet2!$B$2:$B$7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8</c:v>
                </c:pt>
                <c:pt idx="3">
                  <c:v>2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9-4C40-AD5A-B210D34F2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[What Would Make Your Boba Even Better_(1-19).xlsx]Sheet2!PivotTable10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Rewards</a:t>
            </a:r>
            <a:r>
              <a:rPr lang="en-US" baseline="0"/>
              <a:t> Program Interest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Sheet2!$K$27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Sheet2!$J$28:$J$31</c:f>
              <c:strCache>
                <c:ptCount val="3"/>
                <c:pt idx="0">
                  <c:v>Maybe ?</c:v>
                </c:pt>
                <c:pt idx="1">
                  <c:v>Not Intrested</c:v>
                </c:pt>
                <c:pt idx="2">
                  <c:v>Yes, Please</c:v>
                </c:pt>
              </c:strCache>
            </c:strRef>
          </c:cat>
          <c:val>
            <c:numRef>
              <c:f>Sheet2!$K$28:$K$31</c:f>
              <c:numCache>
                <c:formatCode>General</c:formatCode>
                <c:ptCount val="3"/>
                <c:pt idx="0">
                  <c:v>9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77-4AAA-A5B8-45ECEC8E3F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3676272"/>
        <c:axId val="1553680112"/>
      </c:barChart>
      <c:catAx>
        <c:axId val="155367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680112"/>
        <c:crosses val="autoZero"/>
        <c:auto val="1"/>
        <c:lblAlgn val="ctr"/>
        <c:lblOffset val="100"/>
        <c:noMultiLvlLbl val="0"/>
      </c:catAx>
      <c:valAx>
        <c:axId val="155368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67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586740</xdr:colOff>
      <xdr:row>1</xdr:row>
      <xdr:rowOff>0</xdr:rowOff>
    </xdr:from>
    <xdr:to>
      <xdr:col>10</xdr:col>
      <xdr:colOff>701040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7D4009-F980-58D7-FB46-1B4FDD34C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5</xdr:col>
      <xdr:colOff>259080</xdr:colOff>
      <xdr:row>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8978E0-2A50-4128-8B61-0A5BE2F98C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26670</xdr:colOff>
      <xdr:row>24</xdr:row>
      <xdr:rowOff>34290</xdr:rowOff>
    </xdr:from>
    <xdr:to>
      <xdr:col>19</xdr:col>
      <xdr:colOff>331470</xdr:colOff>
      <xdr:row>39</xdr:row>
      <xdr:rowOff>34290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4ECDF7D-6AD7-22DB-F60F-C457B805FC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acy arista" refreshedDate="46122.418786805552" createdVersion="8" refreshedVersion="8" minRefreshableVersion="3" recordCount="19" xr:uid="{6D4E18F0-94D6-45F9-B1FE-6361BF4F648D}">
  <cacheSource type="worksheet">
    <worksheetSource name="Table1"/>
  </cacheSource>
  <cacheFields count="15">
    <cacheField name="ID" numFmtId="0">
      <sharedItems containsSemiMixedTypes="0" containsString="0" containsNumber="1" containsInteger="1" minValue="1" maxValue="19"/>
    </cacheField>
    <cacheField name="Start time" numFmtId="166">
      <sharedItems containsSemiMixedTypes="0" containsNonDate="0" containsDate="1" containsString="0" minDate="2026-04-08T08:33:21" maxDate="2026-04-09T16:16:28"/>
    </cacheField>
    <cacheField name="Completion time" numFmtId="166">
      <sharedItems containsSemiMixedTypes="0" containsNonDate="0" containsDate="1" containsString="0" minDate="2026-04-08T08:40:02" maxDate="2026-04-09T16:17:44"/>
    </cacheField>
    <cacheField name="Time to complete" numFmtId="45">
      <sharedItems containsSemiMixedTypes="0" containsNonDate="0" containsDate="1" containsString="0" minDate="1899-12-30T00:00:42" maxDate="1899-12-30T00:07:28"/>
    </cacheField>
    <cacheField name="Email" numFmtId="0">
      <sharedItems/>
    </cacheField>
    <cacheField name="Name" numFmtId="0">
      <sharedItems count="19">
        <s v="cagla celik"/>
        <s v="onur karaer"/>
        <s v="jessica navarroservin"/>
        <s v="antwaushea sago"/>
        <s v="julissa almarazflores"/>
        <s v="sultan simsek"/>
        <s v="kiersten marsh"/>
        <s v="eyerusalem debero"/>
        <s v="maritza ruiz"/>
        <s v="fuat baslar"/>
        <s v="ariel rollins"/>
        <s v="ceyhun ugur"/>
        <s v="kidus tesema"/>
        <s v="mina saeday"/>
        <s v="rmengesha@my.yearupunited.org"/>
        <s v="godknows mutize"/>
        <s v="william poindexter"/>
        <s v="longley pham"/>
        <s v="paola martinez"/>
      </sharedItems>
    </cacheField>
    <cacheField name="Last modified time" numFmtId="164">
      <sharedItems containsNonDate="0" containsString="0" containsBlank="1"/>
    </cacheField>
    <cacheField name="How often do you visit Chill Bubble Tea?" numFmtId="0">
      <sharedItems count="5">
        <s v="Weekly ( Your Obsessed !)"/>
        <s v="A few times a year"/>
        <s v="Never"/>
        <s v="First time"/>
        <s v="Every other month"/>
      </sharedItems>
    </cacheField>
    <cacheField name="What's your go to order?" numFmtId="0">
      <sharedItems containsBlank="1"/>
    </cacheField>
    <cacheField name="How satisfied are you with your overall experience?" numFmtId="0">
      <sharedItems containsString="0" containsBlank="1" containsNumber="1" containsInteger="1" minValue="2" maxValue="5" count="5">
        <n v="5"/>
        <n v="4"/>
        <m/>
        <n v="2"/>
        <n v="3"/>
      </sharedItems>
    </cacheField>
    <cacheField name="Would you be interested in joining a Chill Bubble Tea rewards program?" numFmtId="0">
      <sharedItems count="3">
        <s v="Not Intrested"/>
        <s v="Maybe ?"/>
        <s v="Yes, Please"/>
      </sharedItems>
    </cacheField>
    <cacheField name="What kind of rewards would you enjoy? (select all that apply)" numFmtId="0">
      <sharedItems/>
    </cacheField>
    <cacheField name="Want loyalty and perk updates?_x000a_" numFmtId="0">
      <sharedItems/>
    </cacheField>
    <cacheField name="What could we do better?" numFmtId="0">
      <sharedItems containsBlank="1"/>
    </cacheField>
    <cacheField name="What keeps you coming back to Chill Bubble Tea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1"/>
    <d v="2026-04-08T08:33:21"/>
    <d v="2026-04-08T08:40:02"/>
    <d v="1899-12-30T00:06:41"/>
    <s v="ccelik@my.yearupunited.org"/>
    <x v="0"/>
    <m/>
    <x v="0"/>
    <s v="Your most popular drink"/>
    <x v="0"/>
    <x v="0"/>
    <s v="Free drink with points;"/>
    <s v="Not interested"/>
    <m/>
    <s v="Inviting ambience "/>
  </r>
  <r>
    <n v="2"/>
    <d v="2026-04-08T10:28:43"/>
    <d v="2026-04-08T10:30:13"/>
    <d v="1899-12-30T00:01:30"/>
    <s v="okaraer@my.yearupunited.org"/>
    <x v="1"/>
    <m/>
    <x v="0"/>
    <s v="Vanilla Chocolate"/>
    <x v="1"/>
    <x v="1"/>
    <s v="Birthday freebies;"/>
    <s v="johndoe@yearupunited.com"/>
    <s v="Drink are a little warm. It could be colder."/>
    <s v="Service"/>
  </r>
  <r>
    <n v="3"/>
    <d v="2026-04-08T15:16:01"/>
    <d v="2026-04-08T15:21:45"/>
    <d v="1899-12-30T00:05:44"/>
    <s v="jnavarroservin@my.yearupunited.org"/>
    <x v="2"/>
    <m/>
    <x v="1"/>
    <s v="Avocado smoothie with Bobba"/>
    <x v="0"/>
    <x v="1"/>
    <s v="Free drink with points;Birthday freebies;"/>
    <s v="1loveboba@pinkmail.com"/>
    <s v="Offer seasonal drinks"/>
    <s v="The environment and seating is a great ambiance for third space."/>
  </r>
  <r>
    <n v="4"/>
    <d v="2026-04-08T15:24:22"/>
    <d v="2026-04-08T15:25:31"/>
    <d v="1899-12-30T00:01:09"/>
    <s v="asago@my.yearupunited.org"/>
    <x v="3"/>
    <m/>
    <x v="2"/>
    <m/>
    <x v="2"/>
    <x v="0"/>
    <s v="Free drink with points;Birthday freebies;Discounts on favorite orders;"/>
    <s v="Yes"/>
    <m/>
    <m/>
  </r>
  <r>
    <n v="5"/>
    <d v="2026-04-08T17:45:05"/>
    <d v="2026-04-08T17:46:28"/>
    <d v="1899-12-30T00:01:23"/>
    <s v="jalmarazflores@my.yearupunited.org"/>
    <x v="4"/>
    <m/>
    <x v="3"/>
    <s v="Brown Sugar"/>
    <x v="1"/>
    <x v="1"/>
    <s v="Birthday freebies;Free drink with points;Discounts on favorite orders;"/>
    <s v="No"/>
    <s v="good point system"/>
    <s v="Quality items"/>
  </r>
  <r>
    <n v="6"/>
    <d v="2026-04-08T19:40:06"/>
    <d v="2026-04-08T19:41:55"/>
    <d v="1899-12-30T00:01:49"/>
    <s v="ssimsek@my.yearupunited.org"/>
    <x v="5"/>
    <m/>
    <x v="2"/>
    <s v="I have not tried boba tea ever."/>
    <x v="3"/>
    <x v="0"/>
    <s v="Free drink with points;Birthday freebies;Merch ;Discounts on favorite orders;"/>
    <s v="No"/>
    <s v="marketing"/>
    <m/>
  </r>
  <r>
    <n v="7"/>
    <d v="2026-04-08T21:10:24"/>
    <d v="2026-04-08T21:17:52"/>
    <d v="1899-12-30T00:07:28"/>
    <s v="kmarsh1@my.yearupunited.org"/>
    <x v="6"/>
    <m/>
    <x v="0"/>
    <s v="A lychee boba with honey jelly and strawberry popping boba and cheese foam top (real order by the way)"/>
    <x v="0"/>
    <x v="2"/>
    <s v="Free drink with points;Discounts on favorite orders;"/>
    <s v="OGkiki@emailemail.com (123)-456-7890"/>
    <s v="Maybe add some food options like waffles"/>
    <s v="The yummy quality "/>
  </r>
  <r>
    <n v="8"/>
    <d v="2026-04-09T11:12:25"/>
    <d v="2026-04-09T11:16:04"/>
    <d v="1899-12-30T00:03:39"/>
    <s v="edebero@my.yearupunited.org"/>
    <x v="7"/>
    <m/>
    <x v="4"/>
    <s v="Brown Sugar Boba Milk caramel flavor"/>
    <x v="0"/>
    <x v="2"/>
    <s v="Birthday freebies;"/>
    <s v="edebero@my.yearupunited.org"/>
    <s v="Faster service and more drink options."/>
    <s v="Good taste and consistent quality."/>
  </r>
  <r>
    <n v="9"/>
    <d v="2026-04-09T11:34:35"/>
    <d v="2026-04-09T11:41:29"/>
    <d v="1899-12-30T00:06:54"/>
    <s v="mruiz3@my.yearupunited.org"/>
    <x v="8"/>
    <m/>
    <x v="3"/>
    <s v="Unsure, never ordered before"/>
    <x v="1"/>
    <x v="1"/>
    <s v="Discounts on favorite orders;"/>
    <s v="111-111-1111"/>
    <s v="N/A"/>
    <m/>
  </r>
  <r>
    <n v="10"/>
    <d v="2026-04-09T12:59:11"/>
    <d v="2026-04-09T12:59:57"/>
    <d v="1899-12-30T00:00:46"/>
    <s v="fbaslar@my.yearupunited.org"/>
    <x v="9"/>
    <m/>
    <x v="3"/>
    <s v="boba tea"/>
    <x v="0"/>
    <x v="0"/>
    <s v="Free drink with points;Birthday freebies;Merch ;"/>
    <s v="-"/>
    <s v="everything is great"/>
    <s v="-"/>
  </r>
  <r>
    <n v="11"/>
    <d v="2026-04-09T13:06:56"/>
    <d v="2026-04-09T13:08:40"/>
    <d v="1899-12-30T00:01:44"/>
    <s v="arollins@my.yearupunited.org"/>
    <x v="10"/>
    <m/>
    <x v="3"/>
    <s v="This would be my first time here. I don't have a go-to order."/>
    <x v="4"/>
    <x v="1"/>
    <s v="Merch ;Birthday freebies;"/>
    <s v="No, I am fine."/>
    <s v="Comforting first experience."/>
    <s v="I be hungry, dude."/>
  </r>
  <r>
    <n v="12"/>
    <d v="2026-04-09T13:33:07"/>
    <d v="2026-04-09T13:33:57"/>
    <d v="1899-12-30T00:00:50"/>
    <s v="cugur@my.yearupunited.org"/>
    <x v="11"/>
    <m/>
    <x v="3"/>
    <s v="Bubble tea"/>
    <x v="0"/>
    <x v="1"/>
    <s v="Free drink with points;"/>
    <s v="No"/>
    <s v="discounts"/>
    <s v="Quality of product"/>
  </r>
  <r>
    <n v="13"/>
    <d v="2026-04-09T13:32:30"/>
    <d v="2026-04-09T13:35:08"/>
    <d v="1899-12-30T00:02:38"/>
    <s v="ktesema@my.yearupunited.org"/>
    <x v="12"/>
    <m/>
    <x v="3"/>
    <s v="black milk tea"/>
    <x v="0"/>
    <x v="2"/>
    <s v="Birthday freebies;Discounts on favorite orders;"/>
    <s v="No"/>
    <s v="you guys need a delivery system"/>
    <s v="The falvors "/>
  </r>
  <r>
    <n v="14"/>
    <d v="2026-04-09T13:40:12"/>
    <d v="2026-04-09T13:40:55"/>
    <d v="1899-12-30T00:00:43"/>
    <s v="msaeday@my.yearupunited.org"/>
    <x v="13"/>
    <m/>
    <x v="0"/>
    <s v="Milk tea"/>
    <x v="0"/>
    <x v="2"/>
    <s v="Free drink with points;"/>
    <s v="Yes"/>
    <s v="It’s perfect"/>
    <s v="The tea "/>
  </r>
  <r>
    <n v="15"/>
    <d v="2026-04-09T13:46:46"/>
    <d v="2026-04-09T13:47:36"/>
    <d v="1899-12-30T00:00:50"/>
    <s v="rmengesha@my.yearupunited.org"/>
    <x v="14"/>
    <m/>
    <x v="3"/>
    <s v="Matcha boba tea "/>
    <x v="0"/>
    <x v="1"/>
    <s v="Free drink with points;Birthday freebies;"/>
    <s v="rmengesha@my.yearupunited.org"/>
    <s v="vegan options"/>
    <s v="good atmosphere "/>
  </r>
  <r>
    <n v="16"/>
    <d v="2026-04-09T13:48:12"/>
    <d v="2026-04-09T13:49:59"/>
    <d v="1899-12-30T00:01:47"/>
    <s v="gmutize@my.yearupunited.org"/>
    <x v="15"/>
    <m/>
    <x v="4"/>
    <s v="Strawberry"/>
    <x v="0"/>
    <x v="0"/>
    <s v="Birthday freebies;"/>
    <s v="No"/>
    <s v="Cleanliness"/>
    <s v="Speed of service"/>
  </r>
  <r>
    <n v="17"/>
    <d v="2026-04-09T13:51:19"/>
    <d v="2026-04-09T13:52:01"/>
    <d v="1899-12-30T00:00:42"/>
    <s v="wpoindexter@my.yearupunited.org"/>
    <x v="16"/>
    <m/>
    <x v="3"/>
    <s v="Taro tea"/>
    <x v="1"/>
    <x v="2"/>
    <s v="Birthday freebies;"/>
    <s v="Free drink"/>
    <s v="freebies for birthday"/>
    <s v="The taro tea"/>
  </r>
  <r>
    <n v="18"/>
    <d v="2026-04-09T14:10:33"/>
    <d v="2026-04-09T14:11:19"/>
    <d v="1899-12-30T00:00:46"/>
    <s v="lpham1@my.yearupunited.org"/>
    <x v="17"/>
    <m/>
    <x v="0"/>
    <s v="Avocado Smoothie"/>
    <x v="1"/>
    <x v="1"/>
    <s v="Free drink with points;Birthday freebies;Merch ;Discounts on favorite orders;"/>
    <s v="No"/>
    <s v="More options"/>
    <s v="Nearby"/>
  </r>
  <r>
    <n v="19"/>
    <d v="2026-04-09T16:16:28"/>
    <d v="2026-04-09T16:17:44"/>
    <d v="1899-12-30T00:01:16"/>
    <s v="pmartinez@my.yearupunited.org"/>
    <x v="18"/>
    <m/>
    <x v="0"/>
    <s v="Taro tea"/>
    <x v="1"/>
    <x v="1"/>
    <s v="Free drink with points;Birthday freebies;"/>
    <s v="No"/>
    <s v="better atmosphere for remote workers"/>
    <s v="the quality of the drink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AD3FF0-4F0B-4818-8459-A17DA597781F}" name="PivotTable10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J27:K31" firstHeaderRow="1" firstDataRow="1" firstDataCol="1"/>
  <pivotFields count="15">
    <pivotField showAll="0"/>
    <pivotField numFmtId="166" showAll="0"/>
    <pivotField numFmtId="166" showAll="0"/>
    <pivotField numFmtId="45" showAll="0"/>
    <pivotField showAll="0"/>
    <pivotField dataField="1" showAll="0">
      <items count="20">
        <item x="3"/>
        <item x="10"/>
        <item x="0"/>
        <item x="11"/>
        <item x="7"/>
        <item x="9"/>
        <item x="15"/>
        <item x="2"/>
        <item x="4"/>
        <item x="12"/>
        <item x="6"/>
        <item x="17"/>
        <item x="8"/>
        <item x="13"/>
        <item x="1"/>
        <item x="18"/>
        <item x="14"/>
        <item x="5"/>
        <item x="16"/>
        <item t="default"/>
      </items>
    </pivotField>
    <pivotField showAll="0"/>
    <pivotField showAll="0">
      <items count="6">
        <item x="1"/>
        <item x="4"/>
        <item x="3"/>
        <item x="2"/>
        <item x="0"/>
        <item t="default"/>
      </items>
    </pivotField>
    <pivotField showAll="0"/>
    <pivotField showAll="0">
      <items count="6">
        <item x="3"/>
        <item x="4"/>
        <item x="1"/>
        <item x="0"/>
        <item x="2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Name" fld="5" subtotal="count" baseField="0" baseItem="0"/>
  </dataFields>
  <chartFormats count="1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FC78D3-A2B0-464C-998D-631F89069D2A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1:B7" firstHeaderRow="1" firstDataRow="1" firstDataCol="1"/>
  <pivotFields count="15">
    <pivotField showAll="0"/>
    <pivotField numFmtId="166" showAll="0"/>
    <pivotField numFmtId="166" showAll="0"/>
    <pivotField numFmtId="45" showAll="0"/>
    <pivotField showAll="0"/>
    <pivotField dataField="1" showAll="0">
      <items count="20">
        <item x="3"/>
        <item x="10"/>
        <item x="0"/>
        <item x="11"/>
        <item x="7"/>
        <item x="9"/>
        <item x="15"/>
        <item x="2"/>
        <item x="4"/>
        <item x="12"/>
        <item x="6"/>
        <item x="17"/>
        <item x="8"/>
        <item x="13"/>
        <item x="1"/>
        <item x="18"/>
        <item x="14"/>
        <item x="5"/>
        <item x="16"/>
        <item t="default"/>
      </items>
    </pivotField>
    <pivotField showAll="0"/>
    <pivotField axis="axisRow" showAll="0">
      <items count="6">
        <item x="1"/>
        <item x="4"/>
        <item x="3"/>
        <item x="2"/>
        <item x="0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Name" fld="5" subtotal="count" baseField="7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21" totalsRowCount="1">
  <autoFilter ref="A1:O20" xr:uid="{00000000-0009-0000-0100-000001000000}"/>
  <tableColumns count="15">
    <tableColumn id="1" xr3:uid="{00000000-0010-0000-0000-000001000000}" name="ID" dataDxfId="29" totalsRowDxfId="14"/>
    <tableColumn id="2" xr3:uid="{00000000-0010-0000-0000-000002000000}" name="Start time" dataDxfId="28" totalsRowDxfId="13"/>
    <tableColumn id="3" xr3:uid="{00000000-0010-0000-0000-000003000000}" name="Completion time" dataDxfId="27" totalsRowDxfId="12"/>
    <tableColumn id="15" xr3:uid="{1577F45C-3D17-4638-BE4C-0604B9A13365}" name="Time to complete" totalsRowFunction="custom" dataDxfId="26" totalsRowDxfId="11">
      <calculatedColumnFormula>C2-B2</calculatedColumnFormula>
      <totalsRowFormula>AVERAGE(D2:D20)</totalsRowFormula>
    </tableColumn>
    <tableColumn id="4" xr3:uid="{00000000-0010-0000-0000-000004000000}" name="Email" dataDxfId="25" totalsRowDxfId="10"/>
    <tableColumn id="5" xr3:uid="{00000000-0010-0000-0000-000005000000}" name="Name" dataDxfId="24" totalsRowDxfId="9"/>
    <tableColumn id="6" xr3:uid="{00000000-0010-0000-0000-000006000000}" name="Last modified time" dataDxfId="23" totalsRowDxfId="8"/>
    <tableColumn id="7" xr3:uid="{00000000-0010-0000-0000-000007000000}" name="How often do you visit Chill Bubble Tea?" totalsRowFunction="custom" dataDxfId="22" totalsRowDxfId="7">
      <totalsRowFormula>COUNTIF(Table1[How often do you visit Chill Bubble Tea?],"First time")</totalsRowFormula>
    </tableColumn>
    <tableColumn id="8" xr3:uid="{00000000-0010-0000-0000-000008000000}" name="What's your go to order?" dataDxfId="21" totalsRowDxfId="6"/>
    <tableColumn id="9" xr3:uid="{00000000-0010-0000-0000-000009000000}" name="How satisfied are you with your overall experience?" totalsRowFunction="custom" dataDxfId="20" totalsRowDxfId="5">
      <totalsRowFormula>AVERAGE(J2:J20)</totalsRowFormula>
    </tableColumn>
    <tableColumn id="10" xr3:uid="{00000000-0010-0000-0000-00000A000000}" name="Would you be interested in joining a Chill Bubble Tea rewards program?" totalsRowFunction="custom" dataDxfId="19" totalsRowDxfId="4">
      <totalsRowFormula>SUM(COUNTIF(Table1[Would you be interested in joining a Chill Bubble Tea rewards program?],"yes, please"),COUNTIF(Table1[Would you be interested in joining a Chill Bubble Tea rewards program?],"not intrested"),COUNTIF(Table1[Would you be interested in joining a Chill Bubble Tea rewards program?],"maybe?"))</totalsRowFormula>
    </tableColumn>
    <tableColumn id="11" xr3:uid="{00000000-0010-0000-0000-00000B000000}" name="What kind of rewards would you enjoy? (select all that apply)" dataDxfId="18" totalsRowDxfId="3"/>
    <tableColumn id="12" xr3:uid="{00000000-0010-0000-0000-00000C000000}" name="Want loyalty and perk updates?_x000a_" totalsRowFunction="custom" dataDxfId="17" totalsRowDxfId="2">
      <totalsRowFormula>COUNTIF(Table1[Want loyalty and perk updates?
],"No")</totalsRowFormula>
    </tableColumn>
    <tableColumn id="13" xr3:uid="{00000000-0010-0000-0000-00000D000000}" name="What could we do better?" dataDxfId="16" totalsRowDxfId="1"/>
    <tableColumn id="14" xr3:uid="{00000000-0010-0000-0000-00000E000000}" name="What keeps you coming back to Chill Bubble Tea?" dataDxfId="15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62E99-E21C-496B-A1E2-C51590671805}">
  <dimension ref="A1:K31"/>
  <sheetViews>
    <sheetView workbookViewId="0">
      <selection activeCell="L9" sqref="L9"/>
    </sheetView>
  </sheetViews>
  <sheetFormatPr defaultRowHeight="14.4" x14ac:dyDescent="0.3"/>
  <cols>
    <col min="1" max="1" width="22.33203125" bestFit="1" customWidth="1"/>
    <col min="2" max="2" width="13.88671875" bestFit="1" customWidth="1"/>
    <col min="10" max="10" width="12.5546875" bestFit="1" customWidth="1"/>
    <col min="11" max="11" width="13.88671875" bestFit="1" customWidth="1"/>
  </cols>
  <sheetData>
    <row r="1" spans="1:2" x14ac:dyDescent="0.3">
      <c r="A1" s="6" t="s">
        <v>133</v>
      </c>
      <c r="B1" t="s">
        <v>135</v>
      </c>
    </row>
    <row r="2" spans="1:2" x14ac:dyDescent="0.3">
      <c r="A2" s="7" t="s">
        <v>32</v>
      </c>
      <c r="B2" s="3">
        <v>1</v>
      </c>
    </row>
    <row r="3" spans="1:2" x14ac:dyDescent="0.3">
      <c r="A3" s="7" t="s">
        <v>68</v>
      </c>
      <c r="B3" s="3">
        <v>2</v>
      </c>
    </row>
    <row r="4" spans="1:2" x14ac:dyDescent="0.3">
      <c r="A4" s="7" t="s">
        <v>45</v>
      </c>
      <c r="B4" s="3">
        <v>8</v>
      </c>
    </row>
    <row r="5" spans="1:2" x14ac:dyDescent="0.3">
      <c r="A5" s="7" t="s">
        <v>40</v>
      </c>
      <c r="B5" s="3">
        <v>2</v>
      </c>
    </row>
    <row r="6" spans="1:2" x14ac:dyDescent="0.3">
      <c r="A6" s="7" t="s">
        <v>16</v>
      </c>
      <c r="B6" s="3">
        <v>6</v>
      </c>
    </row>
    <row r="7" spans="1:2" x14ac:dyDescent="0.3">
      <c r="A7" s="7" t="s">
        <v>134</v>
      </c>
      <c r="B7" s="3">
        <v>19</v>
      </c>
    </row>
    <row r="27" spans="10:11" x14ac:dyDescent="0.3">
      <c r="J27" s="6" t="s">
        <v>133</v>
      </c>
      <c r="K27" t="s">
        <v>135</v>
      </c>
    </row>
    <row r="28" spans="10:11" x14ac:dyDescent="0.3">
      <c r="J28" s="7" t="s">
        <v>25</v>
      </c>
      <c r="K28" s="3">
        <v>9</v>
      </c>
    </row>
    <row r="29" spans="10:11" x14ac:dyDescent="0.3">
      <c r="J29" s="7" t="s">
        <v>18</v>
      </c>
      <c r="K29" s="3">
        <v>5</v>
      </c>
    </row>
    <row r="30" spans="10:11" x14ac:dyDescent="0.3">
      <c r="J30" s="7" t="s">
        <v>61</v>
      </c>
      <c r="K30" s="3">
        <v>5</v>
      </c>
    </row>
    <row r="31" spans="10:11" x14ac:dyDescent="0.3">
      <c r="J31" s="7" t="s">
        <v>134</v>
      </c>
      <c r="K31" s="3">
        <v>19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workbookViewId="0">
      <selection activeCell="D28" sqref="D28"/>
    </sheetView>
  </sheetViews>
  <sheetFormatPr defaultRowHeight="14.4" x14ac:dyDescent="0.3"/>
  <cols>
    <col min="1" max="1" width="20" bestFit="1" customWidth="1"/>
    <col min="2" max="2" width="20" style="4" bestFit="1" customWidth="1"/>
    <col min="3" max="3" width="20" bestFit="1" customWidth="1"/>
    <col min="4" max="4" width="20" style="5" customWidth="1"/>
    <col min="5" max="7" width="20" bestFit="1" customWidth="1"/>
    <col min="8" max="8" width="37.44140625" bestFit="1" customWidth="1"/>
    <col min="9" max="9" width="26.5546875" customWidth="1"/>
    <col min="10" max="11" width="20" bestFit="1" customWidth="1"/>
    <col min="12" max="12" width="64.5546875" bestFit="1" customWidth="1"/>
    <col min="13" max="15" width="20" bestFit="1" customWidth="1"/>
  </cols>
  <sheetData>
    <row r="1" spans="1:15" x14ac:dyDescent="0.3">
      <c r="A1" t="s">
        <v>0</v>
      </c>
      <c r="B1" s="4" t="s">
        <v>1</v>
      </c>
      <c r="C1" t="s">
        <v>2</v>
      </c>
      <c r="D1" s="5" t="s">
        <v>132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>
        <v>1</v>
      </c>
      <c r="B2" s="4">
        <v>46120.356493055602</v>
      </c>
      <c r="C2" s="4">
        <v>46120.361134259299</v>
      </c>
      <c r="D2" s="5">
        <f t="shared" ref="D2:D20" si="0">C2-B2</f>
        <v>4.641203697246965E-3</v>
      </c>
      <c r="E2" t="s">
        <v>14</v>
      </c>
      <c r="F2" t="s">
        <v>15</v>
      </c>
      <c r="G2" s="1"/>
      <c r="H2" t="s">
        <v>16</v>
      </c>
      <c r="I2" t="s">
        <v>17</v>
      </c>
      <c r="J2">
        <v>5</v>
      </c>
      <c r="K2" t="s">
        <v>18</v>
      </c>
      <c r="L2" t="s">
        <v>19</v>
      </c>
      <c r="M2" t="s">
        <v>20</v>
      </c>
      <c r="O2" t="s">
        <v>21</v>
      </c>
    </row>
    <row r="3" spans="1:15" x14ac:dyDescent="0.3">
      <c r="A3">
        <v>2</v>
      </c>
      <c r="B3" s="4">
        <v>46120.436608796299</v>
      </c>
      <c r="C3" s="4">
        <v>46120.437650462998</v>
      </c>
      <c r="D3" s="5">
        <f t="shared" si="0"/>
        <v>1.041666699165944E-3</v>
      </c>
      <c r="E3" t="s">
        <v>22</v>
      </c>
      <c r="F3" t="s">
        <v>23</v>
      </c>
      <c r="G3" s="1"/>
      <c r="H3" t="s">
        <v>16</v>
      </c>
      <c r="I3" t="s">
        <v>24</v>
      </c>
      <c r="J3">
        <v>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</row>
    <row r="4" spans="1:15" x14ac:dyDescent="0.3">
      <c r="A4">
        <v>3</v>
      </c>
      <c r="B4" s="4">
        <v>46120.636122685202</v>
      </c>
      <c r="C4" s="4">
        <v>46120.640104166698</v>
      </c>
      <c r="D4" s="5">
        <f t="shared" si="0"/>
        <v>3.9814814954297617E-3</v>
      </c>
      <c r="E4" t="s">
        <v>30</v>
      </c>
      <c r="F4" t="s">
        <v>31</v>
      </c>
      <c r="G4" s="1"/>
      <c r="H4" t="s">
        <v>32</v>
      </c>
      <c r="I4" t="s">
        <v>33</v>
      </c>
      <c r="J4">
        <v>5</v>
      </c>
      <c r="K4" t="s">
        <v>25</v>
      </c>
      <c r="L4" t="s">
        <v>34</v>
      </c>
      <c r="M4" t="s">
        <v>35</v>
      </c>
      <c r="N4" t="s">
        <v>36</v>
      </c>
      <c r="O4" t="s">
        <v>37</v>
      </c>
    </row>
    <row r="5" spans="1:15" x14ac:dyDescent="0.3">
      <c r="A5">
        <v>4</v>
      </c>
      <c r="B5" s="4">
        <v>46120.641921296301</v>
      </c>
      <c r="C5" s="4">
        <v>46120.642719907402</v>
      </c>
      <c r="D5" s="5">
        <f t="shared" si="0"/>
        <v>7.9861110134515911E-4</v>
      </c>
      <c r="E5" t="s">
        <v>38</v>
      </c>
      <c r="F5" t="s">
        <v>39</v>
      </c>
      <c r="G5" s="1"/>
      <c r="H5" t="s">
        <v>40</v>
      </c>
      <c r="K5" t="s">
        <v>18</v>
      </c>
      <c r="L5" t="s">
        <v>41</v>
      </c>
      <c r="M5" t="s">
        <v>42</v>
      </c>
    </row>
    <row r="6" spans="1:15" x14ac:dyDescent="0.3">
      <c r="A6">
        <v>5</v>
      </c>
      <c r="B6" s="4">
        <v>46120.739641203698</v>
      </c>
      <c r="C6" s="4">
        <v>46120.740601851903</v>
      </c>
      <c r="D6" s="5">
        <f t="shared" si="0"/>
        <v>9.6064820536412299E-4</v>
      </c>
      <c r="E6" t="s">
        <v>43</v>
      </c>
      <c r="F6" t="s">
        <v>44</v>
      </c>
      <c r="G6" s="1"/>
      <c r="H6" t="s">
        <v>45</v>
      </c>
      <c r="I6" t="s">
        <v>46</v>
      </c>
      <c r="J6">
        <v>4</v>
      </c>
      <c r="K6" t="s">
        <v>25</v>
      </c>
      <c r="L6" t="s">
        <v>47</v>
      </c>
      <c r="M6" t="s">
        <v>48</v>
      </c>
      <c r="N6" t="s">
        <v>49</v>
      </c>
      <c r="O6" t="s">
        <v>50</v>
      </c>
    </row>
    <row r="7" spans="1:15" x14ac:dyDescent="0.3">
      <c r="A7">
        <v>6</v>
      </c>
      <c r="B7" s="4">
        <v>46120.819513888899</v>
      </c>
      <c r="C7" s="4">
        <v>46120.820775462998</v>
      </c>
      <c r="D7" s="5">
        <f t="shared" si="0"/>
        <v>1.2615740997716784E-3</v>
      </c>
      <c r="E7" t="s">
        <v>51</v>
      </c>
      <c r="F7" t="s">
        <v>52</v>
      </c>
      <c r="G7" s="1"/>
      <c r="H7" t="s">
        <v>53</v>
      </c>
      <c r="I7" t="s">
        <v>54</v>
      </c>
      <c r="J7">
        <v>2</v>
      </c>
      <c r="K7" t="s">
        <v>18</v>
      </c>
      <c r="L7" t="s">
        <v>55</v>
      </c>
      <c r="M7" t="s">
        <v>56</v>
      </c>
      <c r="N7" t="s">
        <v>57</v>
      </c>
    </row>
    <row r="8" spans="1:15" x14ac:dyDescent="0.3">
      <c r="A8">
        <v>7</v>
      </c>
      <c r="B8" s="4">
        <v>46120.882222222201</v>
      </c>
      <c r="C8" s="4">
        <v>46120.887407407397</v>
      </c>
      <c r="D8" s="5">
        <f t="shared" si="0"/>
        <v>5.185185196751263E-3</v>
      </c>
      <c r="E8" t="s">
        <v>58</v>
      </c>
      <c r="F8" t="s">
        <v>59</v>
      </c>
      <c r="G8" s="1"/>
      <c r="H8" t="s">
        <v>16</v>
      </c>
      <c r="I8" t="s">
        <v>60</v>
      </c>
      <c r="J8">
        <v>5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</row>
    <row r="9" spans="1:15" x14ac:dyDescent="0.3">
      <c r="A9">
        <v>8</v>
      </c>
      <c r="B9" s="4">
        <v>46121.466956018499</v>
      </c>
      <c r="C9" s="4">
        <v>46121.469490740703</v>
      </c>
      <c r="D9" s="5">
        <f t="shared" si="0"/>
        <v>2.5347222035634331E-3</v>
      </c>
      <c r="E9" t="s">
        <v>66</v>
      </c>
      <c r="F9" t="s">
        <v>67</v>
      </c>
      <c r="G9" s="1"/>
      <c r="H9" t="s">
        <v>68</v>
      </c>
      <c r="I9" t="s">
        <v>69</v>
      </c>
      <c r="J9">
        <v>5</v>
      </c>
      <c r="K9" t="s">
        <v>61</v>
      </c>
      <c r="L9" t="s">
        <v>26</v>
      </c>
      <c r="M9" t="s">
        <v>66</v>
      </c>
      <c r="N9" t="s">
        <v>70</v>
      </c>
      <c r="O9" t="s">
        <v>71</v>
      </c>
    </row>
    <row r="10" spans="1:15" x14ac:dyDescent="0.3">
      <c r="A10">
        <v>9</v>
      </c>
      <c r="B10" s="4">
        <v>46121.482349537</v>
      </c>
      <c r="C10" s="4">
        <v>46121.487141203703</v>
      </c>
      <c r="D10" s="5">
        <f t="shared" si="0"/>
        <v>4.7916667026584037E-3</v>
      </c>
      <c r="E10" t="s">
        <v>72</v>
      </c>
      <c r="F10" t="s">
        <v>73</v>
      </c>
      <c r="G10" s="1"/>
      <c r="H10" t="s">
        <v>45</v>
      </c>
      <c r="I10" t="s">
        <v>74</v>
      </c>
      <c r="J10">
        <v>4</v>
      </c>
      <c r="K10" t="s">
        <v>25</v>
      </c>
      <c r="L10" t="s">
        <v>75</v>
      </c>
      <c r="M10" t="s">
        <v>76</v>
      </c>
      <c r="N10" t="s">
        <v>77</v>
      </c>
    </row>
    <row r="11" spans="1:15" x14ac:dyDescent="0.3">
      <c r="A11">
        <v>10</v>
      </c>
      <c r="B11" s="4">
        <v>46121.541099536997</v>
      </c>
      <c r="C11" s="4">
        <v>46121.541631944398</v>
      </c>
      <c r="D11" s="5">
        <f t="shared" si="0"/>
        <v>5.3240740089677274E-4</v>
      </c>
      <c r="E11" t="s">
        <v>78</v>
      </c>
      <c r="F11" t="s">
        <v>79</v>
      </c>
      <c r="G11" s="1"/>
      <c r="H11" t="s">
        <v>45</v>
      </c>
      <c r="I11" t="s">
        <v>80</v>
      </c>
      <c r="J11">
        <v>5</v>
      </c>
      <c r="K11" t="s">
        <v>18</v>
      </c>
      <c r="L11" t="s">
        <v>81</v>
      </c>
      <c r="M11" s="2" t="s">
        <v>82</v>
      </c>
      <c r="N11" t="s">
        <v>83</v>
      </c>
      <c r="O11" s="2" t="s">
        <v>82</v>
      </c>
    </row>
    <row r="12" spans="1:15" x14ac:dyDescent="0.3">
      <c r="A12">
        <v>11</v>
      </c>
      <c r="B12" s="4">
        <v>46121.546481481499</v>
      </c>
      <c r="C12" s="4">
        <v>46121.5476851852</v>
      </c>
      <c r="D12" s="5">
        <f t="shared" si="0"/>
        <v>1.2037037013215013E-3</v>
      </c>
      <c r="E12" t="s">
        <v>84</v>
      </c>
      <c r="F12" t="s">
        <v>85</v>
      </c>
      <c r="G12" s="1"/>
      <c r="H12" t="s">
        <v>45</v>
      </c>
      <c r="I12" t="s">
        <v>86</v>
      </c>
      <c r="J12">
        <v>3</v>
      </c>
      <c r="K12" t="s">
        <v>25</v>
      </c>
      <c r="L12" t="s">
        <v>87</v>
      </c>
      <c r="M12" t="s">
        <v>88</v>
      </c>
      <c r="N12" t="s">
        <v>89</v>
      </c>
      <c r="O12" t="s">
        <v>90</v>
      </c>
    </row>
    <row r="13" spans="1:15" x14ac:dyDescent="0.3">
      <c r="A13">
        <v>12</v>
      </c>
      <c r="B13" s="4">
        <v>46121.564664351798</v>
      </c>
      <c r="C13" s="4">
        <v>46121.5652430556</v>
      </c>
      <c r="D13" s="5">
        <f t="shared" si="0"/>
        <v>5.7870380260283127E-4</v>
      </c>
      <c r="E13" t="s">
        <v>91</v>
      </c>
      <c r="F13" t="s">
        <v>92</v>
      </c>
      <c r="G13" s="1"/>
      <c r="H13" t="s">
        <v>45</v>
      </c>
      <c r="I13" t="s">
        <v>93</v>
      </c>
      <c r="J13">
        <v>5</v>
      </c>
      <c r="K13" t="s">
        <v>25</v>
      </c>
      <c r="L13" t="s">
        <v>19</v>
      </c>
      <c r="M13" t="s">
        <v>56</v>
      </c>
      <c r="N13" t="s">
        <v>94</v>
      </c>
      <c r="O13" t="s">
        <v>95</v>
      </c>
    </row>
    <row r="14" spans="1:15" x14ac:dyDescent="0.3">
      <c r="A14">
        <v>13</v>
      </c>
      <c r="B14" s="4">
        <v>46121.564236111102</v>
      </c>
      <c r="C14" s="4">
        <v>46121.566064814797</v>
      </c>
      <c r="D14" s="5">
        <f t="shared" si="0"/>
        <v>1.8287036946276203E-3</v>
      </c>
      <c r="E14" t="s">
        <v>96</v>
      </c>
      <c r="F14" t="s">
        <v>97</v>
      </c>
      <c r="G14" s="1"/>
      <c r="H14" t="s">
        <v>45</v>
      </c>
      <c r="I14" t="s">
        <v>98</v>
      </c>
      <c r="J14">
        <v>5</v>
      </c>
      <c r="K14" t="s">
        <v>61</v>
      </c>
      <c r="L14" t="s">
        <v>99</v>
      </c>
      <c r="M14" t="s">
        <v>56</v>
      </c>
      <c r="N14" t="s">
        <v>100</v>
      </c>
      <c r="O14" t="s">
        <v>101</v>
      </c>
    </row>
    <row r="15" spans="1:15" x14ac:dyDescent="0.3">
      <c r="A15">
        <v>14</v>
      </c>
      <c r="B15" s="4">
        <v>46121.569583333301</v>
      </c>
      <c r="C15" s="4">
        <v>46121.570081018501</v>
      </c>
      <c r="D15" s="5">
        <f t="shared" si="0"/>
        <v>4.9768519966164604E-4</v>
      </c>
      <c r="E15" t="s">
        <v>102</v>
      </c>
      <c r="F15" t="s">
        <v>103</v>
      </c>
      <c r="G15" s="1"/>
      <c r="H15" t="s">
        <v>16</v>
      </c>
      <c r="I15" t="s">
        <v>104</v>
      </c>
      <c r="J15">
        <v>5</v>
      </c>
      <c r="K15" t="s">
        <v>61</v>
      </c>
      <c r="L15" t="s">
        <v>19</v>
      </c>
      <c r="M15" t="s">
        <v>42</v>
      </c>
      <c r="N15" t="s">
        <v>105</v>
      </c>
      <c r="O15" t="s">
        <v>106</v>
      </c>
    </row>
    <row r="16" spans="1:15" x14ac:dyDescent="0.3">
      <c r="A16">
        <v>15</v>
      </c>
      <c r="B16" s="4">
        <v>46121.574143518497</v>
      </c>
      <c r="C16" s="4">
        <v>46121.574722222198</v>
      </c>
      <c r="D16" s="5">
        <f t="shared" si="0"/>
        <v>5.7870370073942468E-4</v>
      </c>
      <c r="E16" t="s">
        <v>107</v>
      </c>
      <c r="F16" t="s">
        <v>107</v>
      </c>
      <c r="G16" s="1"/>
      <c r="H16" t="s">
        <v>45</v>
      </c>
      <c r="I16" t="s">
        <v>108</v>
      </c>
      <c r="J16">
        <v>5</v>
      </c>
      <c r="K16" t="s">
        <v>25</v>
      </c>
      <c r="L16" t="s">
        <v>34</v>
      </c>
      <c r="M16" t="s">
        <v>107</v>
      </c>
      <c r="N16" t="s">
        <v>109</v>
      </c>
      <c r="O16" t="s">
        <v>110</v>
      </c>
    </row>
    <row r="17" spans="1:15" x14ac:dyDescent="0.3">
      <c r="A17">
        <v>16</v>
      </c>
      <c r="B17" s="4">
        <v>46121.575138888897</v>
      </c>
      <c r="C17" s="4">
        <v>46121.576377314799</v>
      </c>
      <c r="D17" s="5">
        <f t="shared" si="0"/>
        <v>1.238425902556628E-3</v>
      </c>
      <c r="E17" t="s">
        <v>111</v>
      </c>
      <c r="F17" t="s">
        <v>112</v>
      </c>
      <c r="G17" s="1"/>
      <c r="H17" t="s">
        <v>68</v>
      </c>
      <c r="I17" t="s">
        <v>113</v>
      </c>
      <c r="J17">
        <v>5</v>
      </c>
      <c r="K17" t="s">
        <v>18</v>
      </c>
      <c r="L17" t="s">
        <v>26</v>
      </c>
      <c r="M17" t="s">
        <v>48</v>
      </c>
      <c r="N17" t="s">
        <v>114</v>
      </c>
      <c r="O17" t="s">
        <v>115</v>
      </c>
    </row>
    <row r="18" spans="1:15" x14ac:dyDescent="0.3">
      <c r="A18">
        <v>17</v>
      </c>
      <c r="B18" s="4">
        <v>46121.577303240701</v>
      </c>
      <c r="C18" s="4">
        <v>46121.577789351897</v>
      </c>
      <c r="D18" s="5">
        <f t="shared" si="0"/>
        <v>4.8611119564156979E-4</v>
      </c>
      <c r="E18" t="s">
        <v>116</v>
      </c>
      <c r="F18" t="s">
        <v>117</v>
      </c>
      <c r="G18" s="1"/>
      <c r="H18" t="s">
        <v>45</v>
      </c>
      <c r="I18" t="s">
        <v>118</v>
      </c>
      <c r="J18">
        <v>4</v>
      </c>
      <c r="K18" t="s">
        <v>61</v>
      </c>
      <c r="L18" t="s">
        <v>26</v>
      </c>
      <c r="M18" t="s">
        <v>119</v>
      </c>
      <c r="N18" t="s">
        <v>120</v>
      </c>
      <c r="O18" t="s">
        <v>121</v>
      </c>
    </row>
    <row r="19" spans="1:15" x14ac:dyDescent="0.3">
      <c r="A19">
        <v>18</v>
      </c>
      <c r="B19" s="4">
        <v>46121.590659722198</v>
      </c>
      <c r="C19" s="4">
        <v>46121.591192129599</v>
      </c>
      <c r="D19" s="5">
        <f t="shared" si="0"/>
        <v>5.3240740089677274E-4</v>
      </c>
      <c r="E19" t="s">
        <v>122</v>
      </c>
      <c r="F19" t="s">
        <v>123</v>
      </c>
      <c r="G19" s="1"/>
      <c r="H19" t="s">
        <v>16</v>
      </c>
      <c r="I19" t="s">
        <v>124</v>
      </c>
      <c r="J19">
        <v>4</v>
      </c>
      <c r="K19" t="s">
        <v>25</v>
      </c>
      <c r="L19" t="s">
        <v>55</v>
      </c>
      <c r="M19" t="s">
        <v>48</v>
      </c>
      <c r="N19" t="s">
        <v>125</v>
      </c>
      <c r="O19" t="s">
        <v>126</v>
      </c>
    </row>
    <row r="20" spans="1:15" x14ac:dyDescent="0.3">
      <c r="A20">
        <v>19</v>
      </c>
      <c r="B20" s="4">
        <v>46121.678101851903</v>
      </c>
      <c r="C20" s="4">
        <v>46121.678981481498</v>
      </c>
      <c r="D20" s="5">
        <f t="shared" si="0"/>
        <v>8.7962959514698014E-4</v>
      </c>
      <c r="E20" t="s">
        <v>127</v>
      </c>
      <c r="F20" t="s">
        <v>128</v>
      </c>
      <c r="G20" s="1"/>
      <c r="H20" t="s">
        <v>16</v>
      </c>
      <c r="I20" t="s">
        <v>129</v>
      </c>
      <c r="J20">
        <v>4</v>
      </c>
      <c r="K20" t="s">
        <v>25</v>
      </c>
      <c r="L20" t="s">
        <v>34</v>
      </c>
      <c r="M20" t="s">
        <v>56</v>
      </c>
      <c r="N20" t="s">
        <v>130</v>
      </c>
      <c r="O20" t="s">
        <v>131</v>
      </c>
    </row>
    <row r="21" spans="1:15" x14ac:dyDescent="0.3">
      <c r="A21" s="3"/>
      <c r="C21" s="4"/>
      <c r="D21" s="5">
        <f>AVERAGE(D2:D20)</f>
        <v>1.7659600523888673E-3</v>
      </c>
      <c r="E21" s="3"/>
      <c r="F21" s="3"/>
      <c r="G21" s="1"/>
      <c r="H21" s="3">
        <f>COUNTIF(Table1[How often do you visit Chill Bubble Tea?],"First time")</f>
        <v>8</v>
      </c>
      <c r="I21" s="3"/>
      <c r="J21" s="3">
        <f>AVERAGE(J2:J20)</f>
        <v>4.3888888888888893</v>
      </c>
      <c r="K21" s="3">
        <f>SUM(COUNTIF(Table1[Would you be interested in joining a Chill Bubble Tea rewards program?],"yes, please"),COUNTIF(Table1[Would you be interested in joining a Chill Bubble Tea rewards program?],"not intrested"),COUNTIF(Table1[Would you be interested in joining a Chill Bubble Tea rewards program?],"maybe?"))</f>
        <v>10</v>
      </c>
      <c r="L21" s="3"/>
      <c r="M21" s="3">
        <f>COUNTIF(Table1[Want loyalty and perk updates?
],"No")</f>
        <v>7</v>
      </c>
      <c r="N21" s="3"/>
      <c r="O21" s="3"/>
    </row>
    <row r="22" spans="1:15" x14ac:dyDescent="0.3">
      <c r="H22" s="3">
        <f>COUNTIF(Table1[How often do you visit Chill Bubble Tea?],"*Weekly*")</f>
        <v>6</v>
      </c>
      <c r="K22">
        <f>COUNTIF(Table1[Would you be interested in joining a Chill Bubble Tea rewards program?],"Yes, Please")</f>
        <v>5</v>
      </c>
    </row>
    <row r="23" spans="1:15" x14ac:dyDescent="0.3">
      <c r="H23" s="3">
        <f>COUNTIF(Table1[How often do you visit Chill Bubble Tea?],"Every other month")</f>
        <v>2</v>
      </c>
      <c r="K23">
        <f>COUNTIF(Table1[Would you be interested in joining a Chill Bubble Tea rewards program?],"Maybe ?")</f>
        <v>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arista</dc:creator>
  <cp:lastModifiedBy>tracy arista</cp:lastModifiedBy>
  <dcterms:created xsi:type="dcterms:W3CDTF">2026-04-10T13:16:47Z</dcterms:created>
  <dcterms:modified xsi:type="dcterms:W3CDTF">2026-04-10T15:26:25Z</dcterms:modified>
</cp:coreProperties>
</file>