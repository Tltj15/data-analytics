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725"/>
  <workbookPr/>
  <mc:AlternateContent xmlns:mc="http://schemas.openxmlformats.org/markup-compatibility/2006">
    <mc:Choice Requires="x15">
      <x15ac:absPath xmlns:x15ac="http://schemas.microsoft.com/office/spreadsheetml/2010/11/ac" url="https://yearuptemp-my.sharepoint.com/personal/tarista_my_yearupunited_org/Documents/Documents/DataAnalytics/pre-week-2/"/>
    </mc:Choice>
  </mc:AlternateContent>
  <xr:revisionPtr revIDLastSave="73" documentId="11_F25DC773A252ABDACC104807991E5C8C5ADE58EF" xr6:coauthVersionLast="47" xr6:coauthVersionMax="47" xr10:uidLastSave="{17CF9B6F-D1AE-4C33-9CC0-5570308DF009}"/>
  <bookViews>
    <workbookView xWindow="-108" yWindow="-108" windowWidth="23256" windowHeight="13896" activeTab="1" xr2:uid="{00000000-000D-0000-FFFF-FFFF00000000}"/>
  </bookViews>
  <sheets>
    <sheet name="store_data" sheetId="1" r:id="rId1"/>
    <sheet name="store_summary" sheetId="2"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20" i="1" l="1"/>
  <c r="B19" i="1"/>
  <c r="B18" i="1"/>
  <c r="B17" i="1"/>
  <c r="B16" i="1"/>
  <c r="B15" i="1"/>
</calcChain>
</file>

<file path=xl/sharedStrings.xml><?xml version="1.0" encoding="utf-8"?>
<sst xmlns="http://schemas.openxmlformats.org/spreadsheetml/2006/main" count="22" uniqueCount="22">
  <si>
    <t>Store</t>
  </si>
  <si>
    <t>Monthly sales</t>
  </si>
  <si>
    <t>Store A</t>
  </si>
  <si>
    <t>Store B</t>
  </si>
  <si>
    <t>Store C</t>
  </si>
  <si>
    <t>Store D</t>
  </si>
  <si>
    <t>Store E</t>
  </si>
  <si>
    <t>Store F</t>
  </si>
  <si>
    <t>Store G</t>
  </si>
  <si>
    <t>Store H</t>
  </si>
  <si>
    <t>Store I</t>
  </si>
  <si>
    <t>Store J</t>
  </si>
  <si>
    <t>Store K</t>
  </si>
  <si>
    <t>Store L</t>
  </si>
  <si>
    <t>MEAN</t>
  </si>
  <si>
    <t>MEDIAN</t>
  </si>
  <si>
    <t>MODE</t>
  </si>
  <si>
    <t>RANGE</t>
  </si>
  <si>
    <t>the mean seems high</t>
  </si>
  <si>
    <t>STANDARD DEVIATION</t>
  </si>
  <si>
    <t>without H the value dropped</t>
  </si>
  <si>
    <t>Based on the data I gathered the store preformance is spread out. The calculated mean is 49.41. When we calculate the standard deviation with all stores we got 7.63, but when we remove one store for exapmle store H the standard deviation dropped to 2.90. The store monthly sales nuumber does make an impact in the overall results. Adding a visual chart can help distinguish the numbers calculated.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</si>
</sst>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20"/>
  <sheetViews>
    <sheetView workbookViewId="0">
      <selection activeCell="D23" sqref="D23"/>
    </sheetView>
  </sheetViews>
  <sheetFormatPr defaultRowHeight="14.4" x14ac:dyDescent="0.3"/>
  <cols>
    <col min="1" max="1" width="19.88671875" bestFit="1" customWidth="1"/>
    <col min="2" max="2" width="12.21875" bestFit="1" customWidth="1"/>
  </cols>
  <sheetData>
    <row r="1" spans="1:3" x14ac:dyDescent="0.3">
      <c r="A1" t="s">
        <v>0</v>
      </c>
      <c r="B1" t="s">
        <v>1</v>
      </c>
    </row>
    <row r="2" spans="1:3" x14ac:dyDescent="0.3">
      <c r="A2" t="s">
        <v>2</v>
      </c>
      <c r="B2">
        <v>51</v>
      </c>
    </row>
    <row r="3" spans="1:3" x14ac:dyDescent="0.3">
      <c r="A3" t="s">
        <v>3</v>
      </c>
      <c r="B3">
        <v>44</v>
      </c>
    </row>
    <row r="4" spans="1:3" x14ac:dyDescent="0.3">
      <c r="A4" t="s">
        <v>4</v>
      </c>
      <c r="B4">
        <v>49</v>
      </c>
    </row>
    <row r="5" spans="1:3" x14ac:dyDescent="0.3">
      <c r="A5" t="s">
        <v>5</v>
      </c>
      <c r="B5">
        <v>46</v>
      </c>
    </row>
    <row r="6" spans="1:3" x14ac:dyDescent="0.3">
      <c r="A6" t="s">
        <v>6</v>
      </c>
      <c r="B6">
        <v>52</v>
      </c>
    </row>
    <row r="7" spans="1:3" x14ac:dyDescent="0.3">
      <c r="A7" t="s">
        <v>7</v>
      </c>
      <c r="B7">
        <v>47</v>
      </c>
    </row>
    <row r="8" spans="1:3" x14ac:dyDescent="0.3">
      <c r="A8" t="s">
        <v>8</v>
      </c>
      <c r="B8">
        <v>45</v>
      </c>
    </row>
    <row r="9" spans="1:3" x14ac:dyDescent="0.3">
      <c r="A9" t="s">
        <v>9</v>
      </c>
      <c r="B9">
        <v>72</v>
      </c>
    </row>
    <row r="10" spans="1:3" x14ac:dyDescent="0.3">
      <c r="A10" t="s">
        <v>10</v>
      </c>
      <c r="B10">
        <v>43</v>
      </c>
    </row>
    <row r="11" spans="1:3" x14ac:dyDescent="0.3">
      <c r="A11" t="s">
        <v>11</v>
      </c>
      <c r="B11">
        <v>48</v>
      </c>
    </row>
    <row r="12" spans="1:3" x14ac:dyDescent="0.3">
      <c r="A12" t="s">
        <v>12</v>
      </c>
      <c r="B12">
        <v>46</v>
      </c>
    </row>
    <row r="13" spans="1:3" x14ac:dyDescent="0.3">
      <c r="A13" t="s">
        <v>13</v>
      </c>
      <c r="B13">
        <v>50</v>
      </c>
    </row>
    <row r="15" spans="1:3" x14ac:dyDescent="0.3">
      <c r="A15" t="s">
        <v>14</v>
      </c>
      <c r="B15">
        <f>AVERAGE(B2:B13)</f>
        <v>49.416666666666664</v>
      </c>
      <c r="C15" t="s">
        <v>18</v>
      </c>
    </row>
    <row r="16" spans="1:3" x14ac:dyDescent="0.3">
      <c r="A16" t="s">
        <v>15</v>
      </c>
      <c r="B16">
        <f>MEDIAN(B2:B13)</f>
        <v>47.5</v>
      </c>
    </row>
    <row r="17" spans="1:3" x14ac:dyDescent="0.3">
      <c r="A17" t="s">
        <v>16</v>
      </c>
      <c r="B17">
        <f>_xlfn.MODE.SNGL(B2:B13)</f>
        <v>46</v>
      </c>
    </row>
    <row r="18" spans="1:3" x14ac:dyDescent="0.3">
      <c r="A18" t="s">
        <v>17</v>
      </c>
      <c r="B18">
        <f>MAX(B2:B13)-MIN(B2:B13)</f>
        <v>29</v>
      </c>
    </row>
    <row r="19" spans="1:3" x14ac:dyDescent="0.3">
      <c r="A19" t="s">
        <v>19</v>
      </c>
      <c r="B19">
        <f>_xlfn.STDEV.S(B2:B13)</f>
        <v>7.6331613054586773</v>
      </c>
      <c r="C19" t="s">
        <v>20</v>
      </c>
    </row>
    <row r="20" spans="1:3" x14ac:dyDescent="0.3">
      <c r="B20">
        <f>_xlfn.STDEV.S(B2,B3,B4,B5,B6,B7,B8,B10,B11,B12,B13)</f>
        <v>2.9076701075853588</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77FC66-BC1E-47E3-9BD6-9A711B1CCCD0}">
  <dimension ref="A1"/>
  <sheetViews>
    <sheetView tabSelected="1" workbookViewId="0">
      <selection activeCell="E14" sqref="E14"/>
    </sheetView>
  </sheetViews>
  <sheetFormatPr defaultRowHeight="14.4" x14ac:dyDescent="0.3"/>
  <cols>
    <col min="1" max="1" width="97.33203125" customWidth="1"/>
  </cols>
  <sheetData>
    <row r="1" spans="1:1" x14ac:dyDescent="0.3">
      <c r="A1" t="s">
        <v>21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store_data</vt:lpstr>
      <vt:lpstr>store_summary</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tracy arista</dc:creator>
  <cp:lastModifiedBy>tracy arista</cp:lastModifiedBy>
  <dcterms:created xsi:type="dcterms:W3CDTF">2015-06-05T18:17:20Z</dcterms:created>
  <dcterms:modified xsi:type="dcterms:W3CDTF">2026-03-25T20:35:48Z</dcterms:modified>
</cp:coreProperties>
</file>